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spect Tracker" sheetId="1" state="visible" r:id="rId1"/>
    <sheet xmlns:r="http://schemas.openxmlformats.org/officeDocument/2006/relationships" name="Weekly KPIs" sheetId="2" state="visible" r:id="rId2"/>
    <sheet xmlns:r="http://schemas.openxmlformats.org/officeDocument/2006/relationships" name="Message Templates" sheetId="3" state="visible" r:id="rId3"/>
    <sheet xmlns:r="http://schemas.openxmlformats.org/officeDocument/2006/relationships" name="Research Checklist" sheetId="4" state="visible" r:id="rId4"/>
  </sheets>
  <definedNames>
    <definedName name="_xlnm._FilterDatabase" localSheetId="0" hidden="1">'Prospect Tracker'!$A$1:$T$1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A1A18"/>
      <sz val="10"/>
    </font>
    <font>
      <name val="Arial"/>
      <charset val="1"/>
      <family val="0"/>
      <b val="1"/>
      <color rgb="FF1A1A18"/>
      <sz val="10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2C2C2A"/>
        <bgColor rgb="FF1A1A18"/>
      </patternFill>
    </fill>
    <fill>
      <patternFill patternType="solid">
        <fgColor rgb="FFF5F5F3"/>
        <bgColor rgb="FFFFFFFF"/>
      </patternFill>
    </fill>
    <fill>
      <patternFill patternType="solid">
        <fgColor rgb="FFFFFFFF"/>
        <bgColor rgb="FFF5F5F3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164" fontId="5" fillId="3" borderId="1" applyAlignment="1" pivotButton="0" quotePrefix="0" xfId="0">
      <alignment horizontal="general" vertical="center" wrapText="1"/>
    </xf>
    <xf numFmtId="165" fontId="5" fillId="3" borderId="1" applyAlignment="1" pivotButton="0" quotePrefix="0" xfId="0">
      <alignment horizontal="general" vertical="center" wrapText="1"/>
    </xf>
    <xf numFmtId="164" fontId="5" fillId="4" borderId="1" applyAlignment="1" pivotButton="0" quotePrefix="0" xfId="0">
      <alignment horizontal="general" vertical="center" wrapText="1"/>
    </xf>
    <xf numFmtId="165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bottom"/>
    </xf>
    <xf numFmtId="9" fontId="6" fillId="5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5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164" fontId="5" fillId="3" borderId="1" applyAlignment="1" pivotButton="0" quotePrefix="0" xfId="0">
      <alignment horizontal="general" vertical="center" wrapText="1"/>
    </xf>
    <xf numFmtId="165" fontId="5" fillId="3" borderId="1" applyAlignment="1" pivotButton="0" quotePrefix="0" xfId="0">
      <alignment horizontal="general" vertical="center" wrapText="1"/>
    </xf>
    <xf numFmtId="164" fontId="5" fillId="4" borderId="1" applyAlignment="1" pivotButton="0" quotePrefix="0" xfId="0">
      <alignment horizontal="general" vertical="center" wrapText="1"/>
    </xf>
    <xf numFmtId="165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bottom"/>
    </xf>
    <xf numFmtId="9" fontId="6" fillId="5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5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C2C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A5D6A7"/>
        </patternFill>
      </fill>
    </dxf>
    <dxf>
      <fill>
        <patternFill>
          <bgColor rgb="FFBBDE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FF9C4"/>
      <rgbColor rgb="FFF5F5F3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8E6C9"/>
      <rgbColor rgb="FFFFFF99"/>
      <rgbColor rgb="FF99CCFF"/>
      <rgbColor rgb="FFFF99CC"/>
      <rgbColor rgb="FFCC99FF"/>
      <rgbColor rgb="FFFFCDD2"/>
      <rgbColor rgb="FF2196F3"/>
      <rgbColor rgb="FF33CCCC"/>
      <rgbColor rgb="FF99CC00"/>
      <rgbColor rgb="FFFFCC00"/>
      <rgbColor rgb="FFFF9800"/>
      <rgbColor rgb="FFFF6600"/>
      <rgbColor rgb="FF666699"/>
      <rgbColor rgb="FF969696"/>
      <rgbColor rgb="FF003366"/>
      <rgbColor rgb="FF4CAF50"/>
      <rgbColor rgb="FF003300"/>
      <rgbColor rgb="FF1A1A18"/>
      <rgbColor rgb="FF993300"/>
      <rgbColor rgb="FF993366"/>
      <rgbColor rgb="FF333399"/>
      <rgbColor rgb="FF2C2C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18"/>
    <outlinePr summaryBelow="1" summaryRight="1"/>
    <pageSetUpPr fitToPage="0"/>
  </sheetPr>
  <dimension ref="A1:T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0" customWidth="1" style="13" min="1" max="1"/>
    <col width="22" customWidth="1" style="13" min="2" max="3"/>
    <col width="16" customWidth="1" style="13" min="4" max="5"/>
    <col width="30" customWidth="1" style="13" min="6" max="6"/>
    <col width="24" customWidth="1" style="13" min="7" max="7"/>
    <col width="16" customWidth="1" style="13" min="8" max="8"/>
    <col width="14" customWidth="1" style="13" min="9" max="9"/>
    <col width="16" customWidth="1" style="13" min="10" max="11"/>
    <col width="14" customWidth="1" style="13" min="12" max="15"/>
    <col width="16" customWidth="1" style="13" min="16" max="16"/>
    <col width="14" customWidth="1" style="13" min="17" max="18"/>
    <col width="35" customWidth="1" style="13" min="19" max="19"/>
    <col width="12" customWidth="1" style="13" min="20" max="20"/>
  </cols>
  <sheetData>
    <row r="1" ht="26.85" customHeight="1" s="14">
      <c r="A1" s="15" t="inlineStr">
        <is>
          <t>Prospect Name</t>
        </is>
      </c>
      <c r="B1" s="15" t="inlineStr">
        <is>
          <t>Title</t>
        </is>
      </c>
      <c r="C1" s="15" t="inlineStr">
        <is>
          <t>Company</t>
        </is>
      </c>
      <c r="D1" s="15" t="inlineStr">
        <is>
          <t>Vertical</t>
        </is>
      </c>
      <c r="E1" s="15" t="inlineStr">
        <is>
          <t>Persona</t>
        </is>
      </c>
      <c r="F1" s="15" t="inlineStr">
        <is>
          <t>LinkedIn URL</t>
        </is>
      </c>
      <c r="G1" s="15" t="inlineStr">
        <is>
          <t>Email</t>
        </is>
      </c>
      <c r="H1" s="15" t="inlineStr">
        <is>
          <t>Phone</t>
        </is>
      </c>
      <c r="I1" s="15" t="inlineStr">
        <is>
          <t>Connection Sent</t>
        </is>
      </c>
      <c r="J1" s="15" t="inlineStr">
        <is>
          <t>Connection Accepted</t>
        </is>
      </c>
      <c r="K1" s="15" t="inlineStr">
        <is>
          <t>Content Engaged</t>
        </is>
      </c>
      <c r="L1" s="15" t="inlineStr">
        <is>
          <t>DM 1 Sent</t>
        </is>
      </c>
      <c r="M1" s="15" t="inlineStr">
        <is>
          <t>DM 1 Reply</t>
        </is>
      </c>
      <c r="N1" s="15" t="inlineStr">
        <is>
          <t>Follow-Up Sent</t>
        </is>
      </c>
      <c r="O1" s="15" t="inlineStr">
        <is>
          <t>Follow-Up Reply</t>
        </is>
      </c>
      <c r="P1" s="15" t="inlineStr">
        <is>
          <t>Status</t>
        </is>
      </c>
      <c r="Q1" s="15" t="inlineStr">
        <is>
          <t>Call Booked</t>
        </is>
      </c>
      <c r="R1" s="15" t="inlineStr">
        <is>
          <t>Call Date</t>
        </is>
      </c>
      <c r="S1" s="15" t="inlineStr">
        <is>
          <t>Notes</t>
        </is>
      </c>
      <c r="T1" s="15" t="inlineStr">
        <is>
          <t>Priority</t>
        </is>
      </c>
    </row>
    <row r="2" ht="23.85" customHeight="1" s="14">
      <c r="A2" s="16" t="inlineStr">
        <is>
          <t>Zev Friedman</t>
        </is>
      </c>
      <c r="B2" s="16" t="inlineStr">
        <is>
          <t>CTO</t>
        </is>
      </c>
      <c r="C2" s="16" t="inlineStr">
        <is>
          <t>Squadron Energy</t>
        </is>
      </c>
      <c r="D2" s="16" t="inlineStr">
        <is>
          <t>Energy</t>
        </is>
      </c>
      <c r="E2" s="16" t="inlineStr">
        <is>
          <t>The Builder</t>
        </is>
      </c>
      <c r="F2" s="16" t="inlineStr">
        <is>
          <t>https://www.linkedin.com/in/zev-friedman</t>
        </is>
      </c>
      <c r="G2" s="16" t="inlineStr">
        <is>
          <t>zev.friedman@squadronenergy.com</t>
        </is>
      </c>
      <c r="H2" s="16" t="n"/>
      <c r="I2" s="16" t="n"/>
      <c r="J2" s="16" t="n"/>
      <c r="K2" s="16" t="n"/>
      <c r="L2" s="16" t="n"/>
      <c r="M2" s="16" t="n"/>
      <c r="N2" s="16" t="n"/>
      <c r="O2" s="16" t="n"/>
      <c r="P2" s="16" t="inlineStr">
        <is>
          <t>New</t>
        </is>
      </c>
      <c r="Q2" s="16" t="n"/>
      <c r="R2" s="16" t="n"/>
      <c r="S2" s="16" t="inlineStr">
        <is>
          <t>Energy vertical. Use AGL/Simply Energy as credibility bridge.</t>
        </is>
      </c>
      <c r="T2" s="16" t="inlineStr">
        <is>
          <t>High</t>
        </is>
      </c>
    </row>
    <row r="3" ht="23.85" customHeight="1" s="14">
      <c r="A3" s="17" t="inlineStr">
        <is>
          <t>Joe Waller</t>
        </is>
      </c>
      <c r="B3" s="17" t="inlineStr">
        <is>
          <t>CTO</t>
        </is>
      </c>
      <c r="C3" s="17" t="inlineStr">
        <is>
          <t>Finder</t>
        </is>
      </c>
      <c r="D3" s="17" t="inlineStr">
        <is>
          <t>FinTech</t>
        </is>
      </c>
      <c r="E3" s="17" t="inlineStr">
        <is>
          <t>The Builder</t>
        </is>
      </c>
      <c r="F3" s="17" t="inlineStr">
        <is>
          <t>https://www.linkedin.com/in/mrjoewaller</t>
        </is>
      </c>
      <c r="G3" s="17" t="inlineStr">
        <is>
          <t>joe.waller@finder.com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inlineStr">
        <is>
          <t>New</t>
        </is>
      </c>
      <c r="Q3" s="17" t="n"/>
      <c r="R3" s="17" t="n"/>
      <c r="S3" s="17" t="inlineStr">
        <is>
          <t>AU comparison platform. High-volume, process-heavy.</t>
        </is>
      </c>
      <c r="T3" s="17" t="inlineStr">
        <is>
          <t>High</t>
        </is>
      </c>
    </row>
    <row r="4" ht="23.85" customHeight="1" s="14">
      <c r="A4" s="16" t="inlineStr">
        <is>
          <t>Rich Miller</t>
        </is>
      </c>
      <c r="B4" s="16" t="inlineStr">
        <is>
          <t>CTO</t>
        </is>
      </c>
      <c r="C4" s="16" t="inlineStr">
        <is>
          <t>Zepto</t>
        </is>
      </c>
      <c r="D4" s="16" t="inlineStr">
        <is>
          <t>Payments</t>
        </is>
      </c>
      <c r="E4" s="16" t="inlineStr">
        <is>
          <t>The Builder</t>
        </is>
      </c>
      <c r="F4" s="16" t="inlineStr">
        <is>
          <t>https://www.linkedin.com/in/richardmillerwww</t>
        </is>
      </c>
      <c r="G4" s="16" t="inlineStr">
        <is>
          <t>rich.miller@zepto.com.au</t>
        </is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6" t="inlineStr">
        <is>
          <t>New</t>
        </is>
      </c>
      <c r="Q4" s="16" t="n"/>
      <c r="R4" s="16" t="n"/>
      <c r="S4" s="16" t="inlineStr">
        <is>
          <t>AU payments platform. Modern dev tools likely.</t>
        </is>
      </c>
      <c r="T4" s="16" t="inlineStr">
        <is>
          <t>High</t>
        </is>
      </c>
    </row>
    <row r="5" ht="23.85" customHeight="1" s="14">
      <c r="A5" s="17" t="inlineStr">
        <is>
          <t>Anthony McKew</t>
        </is>
      </c>
      <c r="B5" s="17" t="inlineStr">
        <is>
          <t>CTO</t>
        </is>
      </c>
      <c r="C5" s="17" t="inlineStr">
        <is>
          <t>Sandstone Technology</t>
        </is>
      </c>
      <c r="D5" s="17" t="inlineStr">
        <is>
          <t>FinServ Tech</t>
        </is>
      </c>
      <c r="E5" s="17" t="inlineStr">
        <is>
          <t>The Builder</t>
        </is>
      </c>
      <c r="F5" s="17" t="inlineStr">
        <is>
          <t>https://www.linkedin.com/in/anthony-mckew-88433014</t>
        </is>
      </c>
      <c r="G5" s="17" t="inlineStr">
        <is>
          <t>anthony.mckew@sandstone.com.au</t>
        </is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inlineStr">
        <is>
          <t>New</t>
        </is>
      </c>
      <c r="Q5" s="17" t="n"/>
      <c r="R5" s="17" t="n"/>
      <c r="S5" s="17" t="inlineStr">
        <is>
          <t>Builds tech for banks/lenders. Deep FinServ alignment.</t>
        </is>
      </c>
      <c r="T5" s="17" t="inlineStr">
        <is>
          <t>Medium</t>
        </is>
      </c>
    </row>
    <row r="6" ht="23.85" customHeight="1" s="14">
      <c r="A6" s="16" t="inlineStr">
        <is>
          <t>Sek-Mun Wong</t>
        </is>
      </c>
      <c r="B6" s="16" t="inlineStr">
        <is>
          <t>CTO</t>
        </is>
      </c>
      <c r="C6" s="16" t="inlineStr">
        <is>
          <t>Zenith Payments</t>
        </is>
      </c>
      <c r="D6" s="16" t="inlineStr">
        <is>
          <t>FinServ</t>
        </is>
      </c>
      <c r="E6" s="16" t="inlineStr">
        <is>
          <t>The Builder</t>
        </is>
      </c>
      <c r="F6" s="16" t="inlineStr">
        <is>
          <t>https://www.linkedin.com/in/sekmun</t>
        </is>
      </c>
      <c r="G6" s="16" t="inlineStr">
        <is>
          <t>sekmun@zenithpayments.com.au</t>
        </is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inlineStr">
        <is>
          <t>New</t>
        </is>
      </c>
      <c r="Q6" s="16" t="n"/>
      <c r="R6" s="16" t="n"/>
      <c r="S6" s="16" t="inlineStr">
        <is>
          <t>Payments infra. Regulated, compliance-heavy.</t>
        </is>
      </c>
      <c r="T6" s="16" t="inlineStr">
        <is>
          <t>Medium</t>
        </is>
      </c>
    </row>
    <row r="7" ht="23.85" customHeight="1" s="14">
      <c r="A7" s="17" t="inlineStr">
        <is>
          <t>Mentes Keles</t>
        </is>
      </c>
      <c r="B7" s="17" t="inlineStr">
        <is>
          <t>CTO</t>
        </is>
      </c>
      <c r="C7" s="17" t="inlineStr">
        <is>
          <t>Victorian Managed Insurance Authority</t>
        </is>
      </c>
      <c r="D7" s="17" t="inlineStr">
        <is>
          <t>Insurance/Gov</t>
        </is>
      </c>
      <c r="E7" s="17" t="inlineStr">
        <is>
          <t>The Builder</t>
        </is>
      </c>
      <c r="F7" s="17" t="inlineStr">
        <is>
          <t>https://www.linkedin.com/in/mentesk</t>
        </is>
      </c>
      <c r="G7" s="17" t="inlineStr">
        <is>
          <t>m.keles@vmia.vic.gov.au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inlineStr">
        <is>
          <t>New</t>
        </is>
      </c>
      <c r="Q7" s="17" t="n"/>
      <c r="R7" s="17" t="n"/>
      <c r="S7" s="17" t="inlineStr">
        <is>
          <t>Insurance + gov. Perfect governance angle.</t>
        </is>
      </c>
      <c r="T7" s="17" t="inlineStr">
        <is>
          <t>Medium</t>
        </is>
      </c>
    </row>
    <row r="8" ht="23.85" customHeight="1" s="14">
      <c r="A8" s="16" t="inlineStr">
        <is>
          <t>Stephen Morgan</t>
        </is>
      </c>
      <c r="B8" s="16" t="inlineStr">
        <is>
          <t>CTO</t>
        </is>
      </c>
      <c r="C8" s="16" t="inlineStr">
        <is>
          <t>Beamtree</t>
        </is>
      </c>
      <c r="D8" s="16" t="inlineStr">
        <is>
          <t>HealthTech</t>
        </is>
      </c>
      <c r="E8" s="16" t="inlineStr">
        <is>
          <t>The Builder</t>
        </is>
      </c>
      <c r="F8" s="16" t="inlineStr">
        <is>
          <t>https://www.linkedin.com/in/stephenmorgan1</t>
        </is>
      </c>
      <c r="G8" s="16" t="inlineStr">
        <is>
          <t>stephen.morgan@beamtree.com.au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6" t="inlineStr">
        <is>
          <t>New</t>
        </is>
      </c>
      <c r="Q8" s="16" t="n"/>
      <c r="R8" s="16" t="n"/>
      <c r="S8" s="16" t="inlineStr">
        <is>
          <t>Healthcare data analytics. Regulated industry.</t>
        </is>
      </c>
      <c r="T8" s="16" t="inlineStr">
        <is>
          <t>Medium</t>
        </is>
      </c>
    </row>
    <row r="9" ht="23.85" customHeight="1" s="14">
      <c r="A9" s="17" t="inlineStr">
        <is>
          <t>Mark Wang</t>
        </is>
      </c>
      <c r="B9" s="17" t="inlineStr">
        <is>
          <t>VP Eng/CTO</t>
        </is>
      </c>
      <c r="C9" s="17" t="inlineStr">
        <is>
          <t>Umart Online</t>
        </is>
      </c>
      <c r="D9" s="17" t="inlineStr">
        <is>
          <t>Retail</t>
        </is>
      </c>
      <c r="E9" s="17" t="inlineStr">
        <is>
          <t>The Builder</t>
        </is>
      </c>
      <c r="F9" s="17" t="inlineStr">
        <is>
          <t>https://www.linkedin.com/in/ytwang</t>
        </is>
      </c>
      <c r="G9" s="17" t="inlineStr">
        <is>
          <t>mark.wang@umart.com</t>
        </is>
      </c>
      <c r="H9" s="17" t="n"/>
      <c r="I9" s="17" t="n"/>
      <c r="J9" s="17" t="n"/>
      <c r="K9" s="17" t="n"/>
      <c r="L9" s="17" t="n"/>
      <c r="M9" s="17" t="n"/>
      <c r="N9" s="17" t="n"/>
      <c r="O9" s="17" t="n"/>
      <c r="P9" s="17" t="inlineStr">
        <is>
          <t>New</t>
        </is>
      </c>
      <c r="Q9" s="17" t="n"/>
      <c r="R9" s="17" t="n"/>
      <c r="S9" s="17" t="inlineStr">
        <is>
          <t>Online retail. Harvey Norman experience = credibility bridge.</t>
        </is>
      </c>
      <c r="T9" s="17" t="inlineStr">
        <is>
          <t>Medium</t>
        </is>
      </c>
    </row>
    <row r="10" ht="23.85" customHeight="1" s="14">
      <c r="A10" s="16" t="inlineStr">
        <is>
          <t>Daniel Goss</t>
        </is>
      </c>
      <c r="B10" s="16" t="inlineStr">
        <is>
          <t>COO</t>
        </is>
      </c>
      <c r="C10" s="16" t="inlineStr">
        <is>
          <t>PaperCut Software</t>
        </is>
      </c>
      <c r="D10" s="16" t="inlineStr">
        <is>
          <t>SaaS/Tech</t>
        </is>
      </c>
      <c r="E10" s="16" t="inlineStr">
        <is>
          <t>The Operator</t>
        </is>
      </c>
      <c r="F10" s="16" t="inlineStr">
        <is>
          <t>https://www.linkedin.com/in/danielgoss</t>
        </is>
      </c>
      <c r="G10" s="16" t="inlineStr">
        <is>
          <t>dan.goss@papercut.com</t>
        </is>
      </c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inlineStr">
        <is>
          <t>New</t>
        </is>
      </c>
      <c r="Q10" s="16" t="n"/>
      <c r="R10" s="16" t="n"/>
      <c r="S10" s="16" t="inlineStr">
        <is>
          <t>Melbourne SaaS. Likely using AI tools already.</t>
        </is>
      </c>
      <c r="T10" s="16" t="inlineStr">
        <is>
          <t>High</t>
        </is>
      </c>
    </row>
    <row r="11" ht="23.85" customHeight="1" s="14">
      <c r="A11" s="17" t="inlineStr">
        <is>
          <t>Rosanna Biggs</t>
        </is>
      </c>
      <c r="B11" s="17" t="inlineStr">
        <is>
          <t>COO</t>
        </is>
      </c>
      <c r="C11" s="17" t="inlineStr">
        <is>
          <t>Linktree</t>
        </is>
      </c>
      <c r="D11" s="17" t="inlineStr">
        <is>
          <t>Tech</t>
        </is>
      </c>
      <c r="E11" s="17" t="inlineStr">
        <is>
          <t>The Operator</t>
        </is>
      </c>
      <c r="F11" s="17" t="inlineStr">
        <is>
          <t>https://www.linkedin.com/in/rosanna-biggs-56775477</t>
        </is>
      </c>
      <c r="G11" s="17" t="inlineStr">
        <is>
          <t>rosanna@linktr.ee</t>
        </is>
      </c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inlineStr">
        <is>
          <t>New</t>
        </is>
      </c>
      <c r="Q11" s="17" t="n"/>
      <c r="R11" s="17" t="n"/>
      <c r="S11" s="17" t="inlineStr">
        <is>
          <t>Major AU tech. High-growth, ops scaling challenges.</t>
        </is>
      </c>
      <c r="T11" s="17" t="inlineStr">
        <is>
          <t>High</t>
        </is>
      </c>
    </row>
    <row r="12" ht="23.85" customHeight="1" s="14">
      <c r="A12" s="16" t="inlineStr">
        <is>
          <t>Andrew Brown</t>
        </is>
      </c>
      <c r="B12" s="16" t="inlineStr">
        <is>
          <t>COO</t>
        </is>
      </c>
      <c r="C12" s="16" t="inlineStr">
        <is>
          <t>Thinktank Property Finance</t>
        </is>
      </c>
      <c r="D12" s="16" t="inlineStr">
        <is>
          <t>FinServ</t>
        </is>
      </c>
      <c r="E12" s="16" t="inlineStr">
        <is>
          <t>The Operator</t>
        </is>
      </c>
      <c r="F12" s="16" t="inlineStr">
        <is>
          <t>https://www.linkedin.com/in/andybrown203</t>
        </is>
      </c>
      <c r="G12" s="16" t="inlineStr">
        <is>
          <t>abrown@thinktank.net.au</t>
        </is>
      </c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inlineStr">
        <is>
          <t>New</t>
        </is>
      </c>
      <c r="Q12" s="16" t="n"/>
      <c r="R12" s="16" t="n"/>
      <c r="S12" s="16" t="inlineStr">
        <is>
          <t>Property finance. Repetitive workflows, compliance.</t>
        </is>
      </c>
      <c r="T12" s="16" t="inlineStr">
        <is>
          <t>High</t>
        </is>
      </c>
    </row>
    <row r="13" ht="23.85" customHeight="1" s="14">
      <c r="A13" s="17" t="inlineStr">
        <is>
          <t>Mike Wood</t>
        </is>
      </c>
      <c r="B13" s="17" t="inlineStr">
        <is>
          <t>COO</t>
        </is>
      </c>
      <c r="C13" s="17" t="inlineStr">
        <is>
          <t>Kasada</t>
        </is>
      </c>
      <c r="D13" s="17" t="inlineStr">
        <is>
          <t>Cybersecurity</t>
        </is>
      </c>
      <c r="E13" s="17" t="inlineStr">
        <is>
          <t>The Operator</t>
        </is>
      </c>
      <c r="F13" s="17" t="inlineStr">
        <is>
          <t>https://www.linkedin.com/in/mikwood</t>
        </is>
      </c>
      <c r="G13" s="17" t="inlineStr">
        <is>
          <t>mike.wood@kasada.io</t>
        </is>
      </c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inlineStr">
        <is>
          <t>New</t>
        </is>
      </c>
      <c r="Q13" s="17" t="n"/>
      <c r="R13" s="17" t="n"/>
      <c r="S13" s="17" t="inlineStr">
        <is>
          <t>Security company. Understands shadow AI governance.</t>
        </is>
      </c>
      <c r="T13" s="17" t="inlineStr">
        <is>
          <t>Medium</t>
        </is>
      </c>
    </row>
    <row r="14" ht="15" customHeight="1" s="14">
      <c r="A14" s="16" t="inlineStr">
        <is>
          <t>Liam Williamson</t>
        </is>
      </c>
      <c r="B14" s="16" t="inlineStr">
        <is>
          <t>COO</t>
        </is>
      </c>
      <c r="C14" s="16" t="inlineStr">
        <is>
          <t>AFS Logistics</t>
        </is>
      </c>
      <c r="D14" s="16" t="inlineStr">
        <is>
          <t>Logistics</t>
        </is>
      </c>
      <c r="E14" s="16" t="inlineStr">
        <is>
          <t>The Operator</t>
        </is>
      </c>
      <c r="F14" s="16" t="inlineStr">
        <is>
          <t>https://www.linkedin.com/in/liam-williamson-73188826</t>
        </is>
      </c>
      <c r="G14" s="16" t="inlineStr">
        <is>
          <t>lwilliamson@afslogistics.com.au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inlineStr">
        <is>
          <t>New</t>
        </is>
      </c>
      <c r="Q14" s="16" t="n"/>
      <c r="R14" s="16" t="n"/>
      <c r="S14" s="16" t="inlineStr">
        <is>
          <t>Logistics = highly repetitive processes.</t>
        </is>
      </c>
      <c r="T14" s="16" t="inlineStr">
        <is>
          <t>Medium</t>
        </is>
      </c>
    </row>
    <row r="15" ht="15" customHeight="1" s="14">
      <c r="A15" s="17" t="inlineStr">
        <is>
          <t>Tejas Kamdar</t>
        </is>
      </c>
      <c r="B15" s="17" t="inlineStr">
        <is>
          <t>CISO</t>
        </is>
      </c>
      <c r="C15" s="17" t="inlineStr">
        <is>
          <t>Fred IT Group</t>
        </is>
      </c>
      <c r="D15" s="17" t="inlineStr">
        <is>
          <t>HealthTech</t>
        </is>
      </c>
      <c r="E15" s="17" t="inlineStr">
        <is>
          <t>Compliance/Risk</t>
        </is>
      </c>
      <c r="F15" s="17" t="inlineStr">
        <is>
          <t>https://www.linkedin.com/in/kamdartejas</t>
        </is>
      </c>
      <c r="G15" s="17" t="inlineStr">
        <is>
          <t>tejas.kamdar@fred.com.au</t>
        </is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inlineStr">
        <is>
          <t>New</t>
        </is>
      </c>
      <c r="Q15" s="17" t="n"/>
      <c r="R15" s="17" t="n"/>
      <c r="S15" s="17" t="inlineStr">
        <is>
          <t>Healthcare IT. Shadow AI is real risk here.</t>
        </is>
      </c>
      <c r="T15" s="17" t="inlineStr">
        <is>
          <t>High</t>
        </is>
      </c>
    </row>
    <row r="16" ht="23.85" customHeight="1" s="14">
      <c r="A16" s="16" t="inlineStr">
        <is>
          <t>Mahantesh Chikodi</t>
        </is>
      </c>
      <c r="B16" s="16" t="inlineStr">
        <is>
          <t>CISO</t>
        </is>
      </c>
      <c r="C16" s="16" t="inlineStr">
        <is>
          <t>DataMesh Group</t>
        </is>
      </c>
      <c r="D16" s="16" t="inlineStr">
        <is>
          <t>Payments</t>
        </is>
      </c>
      <c r="E16" s="16" t="inlineStr">
        <is>
          <t>Compliance/Risk</t>
        </is>
      </c>
      <c r="F16" s="16" t="inlineStr">
        <is>
          <t>https://www.linkedin.com/in/mahanteshchikodi</t>
        </is>
      </c>
      <c r="G16" s="16" t="inlineStr">
        <is>
          <t>mahantesh.chikodi@datameshgroup.com</t>
        </is>
      </c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inlineStr">
        <is>
          <t>New</t>
        </is>
      </c>
      <c r="Q16" s="16" t="n"/>
      <c r="R16" s="16" t="n"/>
      <c r="S16" s="16" t="inlineStr">
        <is>
          <t>Payments infra. 22% shadow AI stat resonates.</t>
        </is>
      </c>
      <c r="T16" s="16" t="inlineStr">
        <is>
          <t>Medium</t>
        </is>
      </c>
    </row>
    <row r="17" ht="23.85" customHeight="1" s="14">
      <c r="A17" s="17" t="inlineStr">
        <is>
          <t>Phil Ross</t>
        </is>
      </c>
      <c r="B17" s="17" t="inlineStr">
        <is>
          <t>CISO</t>
        </is>
      </c>
      <c r="C17" s="17" t="inlineStr">
        <is>
          <t>UpGuard</t>
        </is>
      </c>
      <c r="D17" s="17" t="inlineStr">
        <is>
          <t>Cybersecurity</t>
        </is>
      </c>
      <c r="E17" s="17" t="inlineStr">
        <is>
          <t>Compliance/Risk</t>
        </is>
      </c>
      <c r="F17" s="17" t="inlineStr">
        <is>
          <t>https://www.linkedin.com/in/phil-ross-ab3a825</t>
        </is>
      </c>
      <c r="G17" s="17" t="inlineStr">
        <is>
          <t>phil.ross@upguard.com</t>
        </is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inlineStr">
        <is>
          <t>New</t>
        </is>
      </c>
      <c r="Q17" s="17" t="n"/>
      <c r="R17" s="17" t="n"/>
      <c r="S17" s="17" t="inlineStr">
        <is>
          <t>Security/risk platform. Ideal governance early adopter.</t>
        </is>
      </c>
      <c r="T17" s="17" t="inlineStr">
        <is>
          <t>Medium</t>
        </is>
      </c>
    </row>
    <row r="18" ht="23.85" customHeight="1" s="14">
      <c r="A18" s="16" t="inlineStr">
        <is>
          <t>Reza Nashvi</t>
        </is>
      </c>
      <c r="B18" s="16" t="inlineStr">
        <is>
          <t>CISO</t>
        </is>
      </c>
      <c r="C18" s="16" t="inlineStr">
        <is>
          <t>Orro Group</t>
        </is>
      </c>
      <c r="D18" s="16" t="inlineStr">
        <is>
          <t>IT Services</t>
        </is>
      </c>
      <c r="E18" s="16" t="inlineStr">
        <is>
          <t>Compliance/Risk</t>
        </is>
      </c>
      <c r="F18" s="16" t="inlineStr">
        <is>
          <t>https://www.linkedin.com/in/rezanashvi</t>
        </is>
      </c>
      <c r="G18" s="16" t="inlineStr">
        <is>
          <t>reza.nashvi@orro.group</t>
        </is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inlineStr">
        <is>
          <t>New</t>
        </is>
      </c>
      <c r="Q18" s="16" t="n"/>
      <c r="R18" s="16" t="n"/>
      <c r="S18" s="16" t="inlineStr">
        <is>
          <t>IT services. Sees AI governance across clients.</t>
        </is>
      </c>
      <c r="T18" s="16" t="inlineStr">
        <is>
          <t>Medium</t>
        </is>
      </c>
    </row>
    <row r="19" ht="15" customHeight="1" s="14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</row>
    <row r="20" ht="15" customHeight="1" s="14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 ht="15" customHeight="1" s="14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</row>
    <row r="22" ht="15" customHeight="1" s="14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3" ht="15" customHeight="1" s="14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</row>
    <row r="24" ht="15" customHeight="1" s="1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</row>
    <row r="25" ht="15" customHeight="1" s="14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ht="15" customHeight="1" s="14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</row>
    <row r="27" ht="15" customHeight="1" s="14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5" customHeight="1" s="14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</row>
    <row r="29" ht="15" customHeight="1" s="14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5" customHeight="1" s="14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</row>
    <row r="31" ht="15" customHeight="1" s="14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5" customHeight="1" s="14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</row>
    <row r="33" ht="15" customHeight="1" s="14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ht="15" customHeight="1" s="1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</row>
    <row r="35" ht="15" customHeight="1" s="14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15" customHeight="1" s="14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</row>
    <row r="37" ht="15" customHeight="1" s="14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5" customHeight="1" s="14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</row>
    <row r="39" ht="15" customHeight="1" s="14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5" customHeight="1" s="14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</row>
    <row r="41" ht="15" customHeight="1" s="14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5" customHeight="1" s="14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</row>
    <row r="43" ht="15" customHeight="1" s="14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</row>
    <row r="44" ht="15" customHeight="1" s="1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</row>
    <row r="45" ht="15" customHeight="1" s="14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</row>
    <row r="46" ht="15" customHeight="1" s="14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</row>
    <row r="47" ht="15" customHeight="1" s="14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</row>
    <row r="48" ht="15" customHeight="1" s="14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</row>
  </sheetData>
  <autoFilter ref="A1:T1"/>
  <conditionalFormatting sqref="T2:T50">
    <cfRule type="cellIs" rank="0" priority="2" equalAverage="0" operator="equal" aboveAverage="0" dxfId="2" text="" percent="0" bottom="0">
      <formula>"High"</formula>
    </cfRule>
    <cfRule type="cellIs" rank="0" priority="3" equalAverage="0" operator="equal" aboveAverage="0" dxfId="3" text="" percent="0" bottom="0">
      <formula>"Medium"</formula>
    </cfRule>
    <cfRule type="cellIs" rank="0" priority="4" equalAverage="0" operator="equal" aboveAverage="0" dxfId="4" text="" percent="0" bottom="0">
      <formula>"Low"</formula>
    </cfRule>
  </conditionalFormatting>
  <conditionalFormatting sqref="P2:P50">
    <cfRule type="cellIs" rank="0" priority="5" equalAverage="0" operator="equal" aboveAverage="0" dxfId="4" text="" percent="0" bottom="0">
      <formula>"Call Booked"</formula>
    </cfRule>
    <cfRule type="cellIs" rank="0" priority="6" equalAverage="0" operator="equal" aboveAverage="0" dxfId="5" text="" percent="0" bottom="0">
      <formula>"Won"</formula>
    </cfRule>
    <cfRule type="cellIs" rank="0" priority="7" equalAverage="0" operator="equal" aboveAverage="0" dxfId="2" text="" percent="0" bottom="0">
      <formula>"Lost"</formula>
    </cfRule>
    <cfRule type="cellIs" rank="0" priority="8" equalAverage="0" operator="equal" aboveAverage="0" dxfId="6" text="" percent="0" bottom="0">
      <formula>"In Conversation"</formula>
    </cfRule>
  </conditionalFormatting>
  <dataValidations count="5">
    <dataValidation sqref="E2:E50" showDropDown="0" showInputMessage="0" showErrorMessage="0" allowBlank="1" errorTitle="Invalid Persona" error="Pick a persona" type="list" errorStyle="stop" operator="between">
      <formula1>"The Builder,The Operator,The Strategist,Compliance/Risk"</formula1>
      <formula2>0</formula2>
    </dataValidation>
    <dataValidation sqref="P2:P50" showDropDown="0" showInputMessage="0" showErrorMessage="0" allowBlank="1" error="Pick a status" type="list" errorStyle="stop" operator="between">
      <formula1>"New,Researched,Connection Sent,Connected,DM Sent,In Conversation,Call Booked,Call Done,Proposal Sent,Won,Lost,Not Interested"</formula1>
      <formula2>0</formula2>
    </dataValidation>
    <dataValidation sqref="T2:T50" showDropDown="0" showInputMessage="0" showErrorMessage="0" allowBlank="1" type="list" errorStyle="stop" operator="between">
      <formula1>"High,Medium,Low"</formula1>
      <formula2>0</formula2>
    </dataValidation>
    <dataValidation sqref="D2:D50" showDropDown="0" showInputMessage="0" showErrorMessage="0" allowBlank="1" type="list" errorStyle="stop" operator="between">
      <formula1>"FinServ,FinServ Tech,FinTech,Energy,Retail,Telco,SaaS/Tech,Tech,Payments,Insurance/Gov,HealthTech,Cybersecurity,IT Services,Logistics,Other"</formula1>
      <formula2>0</formula2>
    </dataValidation>
    <dataValidation sqref="I2:O50 Q2:Q50" showDropDown="0" showInputMessage="0" showErrorMessage="0" allowBlank="1" type="list" errorStyle="stop" operator="between">
      <formula1>"Yes,No,Pending"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CAF50"/>
    <outlinePr summaryBelow="1" summaryRight="1"/>
    <pageSetUpPr fitToPage="0"/>
  </sheetPr>
  <dimension ref="A1:L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" min="1" max="1"/>
    <col width="22" customWidth="1" style="13" min="2" max="2"/>
    <col width="20" customWidth="1" style="13" min="3" max="3"/>
    <col width="16" customWidth="1" style="13" min="4" max="4"/>
    <col width="12" customWidth="1" style="13" min="5" max="5"/>
    <col width="14" customWidth="1" style="13" min="6" max="6"/>
    <col width="18" customWidth="1" style="13" min="7" max="7"/>
    <col width="16" customWidth="1" style="13" min="8" max="8"/>
    <col width="14" customWidth="1" style="13" min="9" max="9"/>
    <col width="16" customWidth="1" style="13" min="10" max="10"/>
    <col width="14" customWidth="1" style="13" min="11" max="11"/>
    <col width="35" customWidth="1" style="13" min="12" max="12"/>
  </cols>
  <sheetData>
    <row r="1" ht="26.85" customHeight="1" s="14">
      <c r="A1" s="15" t="inlineStr">
        <is>
          <t>Week Starting</t>
        </is>
      </c>
      <c r="B1" s="15" t="inlineStr">
        <is>
          <t>Connection Requests Sent</t>
        </is>
      </c>
      <c r="C1" s="15" t="inlineStr">
        <is>
          <t>Connections Accepted</t>
        </is>
      </c>
      <c r="D1" s="15" t="inlineStr">
        <is>
          <t>Acceptance Rate</t>
        </is>
      </c>
      <c r="E1" s="15" t="inlineStr">
        <is>
          <t>DMs Sent</t>
        </is>
      </c>
      <c r="F1" s="15" t="inlineStr">
        <is>
          <t>DM Replies</t>
        </is>
      </c>
      <c r="G1" s="15" t="inlineStr">
        <is>
          <t>DM Response Rate</t>
        </is>
      </c>
      <c r="H1" s="15" t="inlineStr">
        <is>
          <t>Follow-Ups Sent</t>
        </is>
      </c>
      <c r="I1" s="15" t="inlineStr">
        <is>
          <t>Calls Booked</t>
        </is>
      </c>
      <c r="J1" s="15" t="inlineStr">
        <is>
          <t>Content Posts</t>
        </is>
      </c>
      <c r="K1" s="15" t="inlineStr">
        <is>
          <t>Profile Views</t>
        </is>
      </c>
      <c r="L1" s="15" t="inlineStr">
        <is>
          <t>Notes</t>
        </is>
      </c>
    </row>
    <row r="2" ht="15" customHeight="1" s="14">
      <c r="A2" s="18" t="n">
        <v>46104</v>
      </c>
      <c r="B2" s="16" t="n"/>
      <c r="C2" s="16" t="n"/>
      <c r="D2" s="19">
        <f>IF(B2=0,"-",C2/B2)</f>
        <v/>
      </c>
      <c r="E2" s="16" t="n"/>
      <c r="F2" s="16" t="n"/>
      <c r="G2" s="19">
        <f>IF(E2=0,"-",F2/E2)</f>
        <v/>
      </c>
      <c r="H2" s="16" t="n"/>
      <c r="I2" s="16" t="n"/>
      <c r="J2" s="16" t="n"/>
      <c r="K2" s="16" t="n"/>
      <c r="L2" s="16" t="n"/>
    </row>
    <row r="3" ht="15" customHeight="1" s="14">
      <c r="A3" s="20" t="n">
        <v>46111</v>
      </c>
      <c r="B3" s="17" t="n"/>
      <c r="C3" s="17" t="n"/>
      <c r="D3" s="21">
        <f>IF(B3=0,"-",C3/B3)</f>
        <v/>
      </c>
      <c r="E3" s="17" t="n"/>
      <c r="F3" s="17" t="n"/>
      <c r="G3" s="21">
        <f>IF(E3=0,"-",F3/E3)</f>
        <v/>
      </c>
      <c r="H3" s="17" t="n"/>
      <c r="I3" s="17" t="n"/>
      <c r="J3" s="17" t="n"/>
      <c r="K3" s="17" t="n"/>
      <c r="L3" s="17" t="n"/>
    </row>
    <row r="4" ht="15" customHeight="1" s="14">
      <c r="A4" s="18" t="n">
        <v>46118</v>
      </c>
      <c r="B4" s="16" t="n"/>
      <c r="C4" s="16" t="n"/>
      <c r="D4" s="19">
        <f>IF(B4=0,"-",C4/B4)</f>
        <v/>
      </c>
      <c r="E4" s="16" t="n"/>
      <c r="F4" s="16" t="n"/>
      <c r="G4" s="19">
        <f>IF(E4=0,"-",F4/E4)</f>
        <v/>
      </c>
      <c r="H4" s="16" t="n"/>
      <c r="I4" s="16" t="n"/>
      <c r="J4" s="16" t="n"/>
      <c r="K4" s="16" t="n"/>
      <c r="L4" s="16" t="n"/>
    </row>
    <row r="5" ht="15" customHeight="1" s="14">
      <c r="A5" s="20" t="n">
        <v>46125</v>
      </c>
      <c r="B5" s="17" t="n"/>
      <c r="C5" s="17" t="n"/>
      <c r="D5" s="21">
        <f>IF(B5=0,"-",C5/B5)</f>
        <v/>
      </c>
      <c r="E5" s="17" t="n"/>
      <c r="F5" s="17" t="n"/>
      <c r="G5" s="21">
        <f>IF(E5=0,"-",F5/E5)</f>
        <v/>
      </c>
      <c r="H5" s="17" t="n"/>
      <c r="I5" s="17" t="n"/>
      <c r="J5" s="17" t="n"/>
      <c r="K5" s="17" t="n"/>
      <c r="L5" s="17" t="n"/>
    </row>
    <row r="6" ht="15" customHeight="1" s="14">
      <c r="A6" s="18" t="n">
        <v>46132</v>
      </c>
      <c r="B6" s="16" t="n"/>
      <c r="C6" s="16" t="n"/>
      <c r="D6" s="19">
        <f>IF(B6=0,"-",C6/B6)</f>
        <v/>
      </c>
      <c r="E6" s="16" t="n"/>
      <c r="F6" s="16" t="n"/>
      <c r="G6" s="19">
        <f>IF(E6=0,"-",F6/E6)</f>
        <v/>
      </c>
      <c r="H6" s="16" t="n"/>
      <c r="I6" s="16" t="n"/>
      <c r="J6" s="16" t="n"/>
      <c r="K6" s="16" t="n"/>
      <c r="L6" s="16" t="n"/>
    </row>
    <row r="7" ht="15" customHeight="1" s="14">
      <c r="A7" s="20" t="n">
        <v>46139</v>
      </c>
      <c r="B7" s="17" t="n"/>
      <c r="C7" s="17" t="n"/>
      <c r="D7" s="21">
        <f>IF(B7=0,"-",C7/B7)</f>
        <v/>
      </c>
      <c r="E7" s="17" t="n"/>
      <c r="F7" s="17" t="n"/>
      <c r="G7" s="21">
        <f>IF(E7=0,"-",F7/E7)</f>
        <v/>
      </c>
      <c r="H7" s="17" t="n"/>
      <c r="I7" s="17" t="n"/>
      <c r="J7" s="17" t="n"/>
      <c r="K7" s="17" t="n"/>
      <c r="L7" s="17" t="n"/>
    </row>
    <row r="8" ht="15" customHeight="1" s="14">
      <c r="A8" s="18" t="n">
        <v>46146</v>
      </c>
      <c r="B8" s="16" t="n"/>
      <c r="C8" s="16" t="n"/>
      <c r="D8" s="19">
        <f>IF(B8=0,"-",C8/B8)</f>
        <v/>
      </c>
      <c r="E8" s="16" t="n"/>
      <c r="F8" s="16" t="n"/>
      <c r="G8" s="19">
        <f>IF(E8=0,"-",F8/E8)</f>
        <v/>
      </c>
      <c r="H8" s="16" t="n"/>
      <c r="I8" s="16" t="n"/>
      <c r="J8" s="16" t="n"/>
      <c r="K8" s="16" t="n"/>
      <c r="L8" s="16" t="n"/>
    </row>
    <row r="9" ht="15" customHeight="1" s="14">
      <c r="A9" s="20" t="n">
        <v>46153</v>
      </c>
      <c r="B9" s="17" t="n"/>
      <c r="C9" s="17" t="n"/>
      <c r="D9" s="21">
        <f>IF(B9=0,"-",C9/B9)</f>
        <v/>
      </c>
      <c r="E9" s="17" t="n"/>
      <c r="F9" s="17" t="n"/>
      <c r="G9" s="21">
        <f>IF(E9=0,"-",F9/E9)</f>
        <v/>
      </c>
      <c r="H9" s="17" t="n"/>
      <c r="I9" s="17" t="n"/>
      <c r="J9" s="17" t="n"/>
      <c r="K9" s="17" t="n"/>
      <c r="L9" s="17" t="n"/>
    </row>
    <row r="10" ht="15" customHeight="1" s="14">
      <c r="A10" s="18" t="n">
        <v>46160</v>
      </c>
      <c r="B10" s="16" t="n"/>
      <c r="C10" s="16" t="n"/>
      <c r="D10" s="19">
        <f>IF(B10=0,"-",C10/B10)</f>
        <v/>
      </c>
      <c r="E10" s="16" t="n"/>
      <c r="F10" s="16" t="n"/>
      <c r="G10" s="19">
        <f>IF(E10=0,"-",F10/E10)</f>
        <v/>
      </c>
      <c r="H10" s="16" t="n"/>
      <c r="I10" s="16" t="n"/>
      <c r="J10" s="16" t="n"/>
      <c r="K10" s="16" t="n"/>
      <c r="L10" s="16" t="n"/>
    </row>
    <row r="11" ht="15" customHeight="1" s="14">
      <c r="A11" s="20" t="n">
        <v>46167</v>
      </c>
      <c r="B11" s="17" t="n"/>
      <c r="C11" s="17" t="n"/>
      <c r="D11" s="21">
        <f>IF(B11=0,"-",C11/B11)</f>
        <v/>
      </c>
      <c r="E11" s="17" t="n"/>
      <c r="F11" s="17" t="n"/>
      <c r="G11" s="21">
        <f>IF(E11=0,"-",F11/E11)</f>
        <v/>
      </c>
      <c r="H11" s="17" t="n"/>
      <c r="I11" s="17" t="n"/>
      <c r="J11" s="17" t="n"/>
      <c r="K11" s="17" t="n"/>
      <c r="L11" s="17" t="n"/>
    </row>
    <row r="12" ht="15" customHeight="1" s="14">
      <c r="A12" s="18" t="n">
        <v>46174</v>
      </c>
      <c r="B12" s="16" t="n"/>
      <c r="C12" s="16" t="n"/>
      <c r="D12" s="19">
        <f>IF(B12=0,"-",C12/B12)</f>
        <v/>
      </c>
      <c r="E12" s="16" t="n"/>
      <c r="F12" s="16" t="n"/>
      <c r="G12" s="19">
        <f>IF(E12=0,"-",F12/E12)</f>
        <v/>
      </c>
      <c r="H12" s="16" t="n"/>
      <c r="I12" s="16" t="n"/>
      <c r="J12" s="16" t="n"/>
      <c r="K12" s="16" t="n"/>
      <c r="L12" s="16" t="n"/>
    </row>
    <row r="13" ht="15" customHeight="1" s="14">
      <c r="A13" s="20" t="n">
        <v>46181</v>
      </c>
      <c r="B13" s="17" t="n"/>
      <c r="C13" s="17" t="n"/>
      <c r="D13" s="21">
        <f>IF(B13=0,"-",C13/B13)</f>
        <v/>
      </c>
      <c r="E13" s="17" t="n"/>
      <c r="F13" s="17" t="n"/>
      <c r="G13" s="21">
        <f>IF(E13=0,"-",F13/E13)</f>
        <v/>
      </c>
      <c r="H13" s="17" t="n"/>
      <c r="I13" s="17" t="n"/>
      <c r="J13" s="17" t="n"/>
      <c r="K13" s="17" t="n"/>
      <c r="L13" s="17" t="n"/>
    </row>
    <row r="15" ht="15" customHeight="1" s="14">
      <c r="A15" s="22" t="inlineStr">
        <is>
          <t>TARGETS</t>
        </is>
      </c>
      <c r="B15" s="22" t="inlineStr">
        <is>
          <t>5-10</t>
        </is>
      </c>
      <c r="C15" s="22" t="n"/>
      <c r="D15" s="23" t="n">
        <v>0.4</v>
      </c>
      <c r="E15" s="22" t="n"/>
      <c r="F15" s="22" t="n"/>
      <c r="G15" s="23" t="n">
        <v>0.15</v>
      </c>
      <c r="H15" s="22" t="n"/>
      <c r="I15" s="22" t="inlineStr">
        <is>
          <t>2-4/month</t>
        </is>
      </c>
      <c r="J15" s="22" t="inlineStr">
        <is>
          <t>2-3/week</t>
        </is>
      </c>
      <c r="K15" s="22" t="n"/>
      <c r="L15" s="22" t="n"/>
    </row>
    <row r="16" ht="15" customHeight="1" s="14">
      <c r="A16" s="24" t="inlineStr">
        <is>
          <t>TOTALS</t>
        </is>
      </c>
      <c r="B16" s="24">
        <f>SUM(B2:B13)</f>
        <v/>
      </c>
      <c r="C16" s="24">
        <f>SUM(C2:C13)</f>
        <v/>
      </c>
      <c r="D16" s="25">
        <f>IF(B16=0,"-",C16/B16)</f>
        <v/>
      </c>
      <c r="E16" s="24">
        <f>SUM(E2:E13)</f>
        <v/>
      </c>
      <c r="F16" s="24">
        <f>SUM(F2:F13)</f>
        <v/>
      </c>
      <c r="G16" s="25">
        <f>IF(E16=0,"-",F16/E16)</f>
        <v/>
      </c>
      <c r="H16" s="24">
        <f>SUM(H2:H13)</f>
        <v/>
      </c>
      <c r="I16" s="24">
        <f>SUM(I2:I13)</f>
        <v/>
      </c>
      <c r="J16" s="24">
        <f>SUM(J2:J13)</f>
        <v/>
      </c>
      <c r="K16" s="24">
        <f>SUM(K2:K13)</f>
        <v/>
      </c>
      <c r="L16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9800"/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3" min="1" max="1"/>
    <col width="20" customWidth="1" style="13" min="2" max="2"/>
    <col width="80" customWidth="1" style="13" min="3" max="3"/>
  </cols>
  <sheetData>
    <row r="1" ht="15" customHeight="1" s="14">
      <c r="A1" s="26" t="n"/>
      <c r="B1" s="26" t="n"/>
      <c r="C1" s="26" t="n"/>
    </row>
    <row r="2" ht="15" customHeight="1" s="14">
      <c r="A2" s="15" t="inlineStr">
        <is>
          <t>TOUCH</t>
        </is>
      </c>
      <c r="B2" s="15" t="inlineStr">
        <is>
          <t>PERSONA</t>
        </is>
      </c>
      <c r="C2" s="15" t="inlineStr">
        <is>
          <t>TEMPLATE</t>
        </is>
      </c>
    </row>
    <row r="3" ht="15" customHeight="1" s="14">
      <c r="A3" s="26" t="n"/>
      <c r="B3" s="26" t="n"/>
      <c r="C3" s="26" t="n"/>
    </row>
    <row r="4" ht="79.5" customHeight="1" s="14">
      <c r="A4" s="26" t="inlineStr">
        <is>
          <t>Connection Request</t>
        </is>
      </c>
      <c r="B4" s="26" t="inlineStr">
        <is>
          <t>The Builder</t>
        </is>
      </c>
      <c r="C4" s="26" t="inlineStr">
        <is>
          <t>Hi [Name], saw your work at [Company] — [specific reference: post, talk, hiring for X role]. I'm working on AI agent skill development for AU engineering teams. Would be great to connect.</t>
        </is>
      </c>
    </row>
    <row r="5" ht="79.5" customHeight="1" s="14">
      <c r="A5" s="26" t="inlineStr">
        <is>
          <t>Connection Request</t>
        </is>
      </c>
      <c r="B5" s="26" t="inlineStr">
        <is>
          <t>The Operator</t>
        </is>
      </c>
      <c r="C5" s="26" t="inlineStr">
        <is>
          <t>Hi [Name], noticed [Company] is [hiring AI roles / expanding AI capabilities / specific signal]. I help AU enterprises govern AI agent deployments — thought we might have some overlap. Happy to connect.</t>
        </is>
      </c>
    </row>
    <row r="6" ht="79.5" customHeight="1" s="14">
      <c r="A6" s="26" t="inlineStr">
        <is>
          <t>Connection Request</t>
        </is>
      </c>
      <c r="B6" s="26" t="inlineStr">
        <is>
          <t>Compliance/Risk</t>
        </is>
      </c>
      <c r="C6" s="26" t="inlineStr">
        <is>
          <t>Hi [Name], [specific reference to their security/compliance initiative]. I help AU enterprises govern shadow AI — private skill marketplaces with audit trails. Would value connecting.</t>
        </is>
      </c>
    </row>
    <row r="7" ht="79.5" customHeight="1" s="14">
      <c r="A7" s="26" t="inlineStr">
        <is>
          <t>Connection Request</t>
        </is>
      </c>
      <c r="B7" s="26" t="inlineStr">
        <is>
          <t>The Strategist</t>
        </is>
      </c>
      <c r="C7" s="26" t="inlineStr">
        <is>
          <t>Hi [Name], [specific reference to their content or company initiative]. I've been helping AU enterprises get AI agents into production — would value connecting.</t>
        </is>
      </c>
    </row>
    <row r="8" ht="15" customHeight="1" s="14">
      <c r="A8" s="26" t="n"/>
      <c r="B8" s="26" t="n"/>
      <c r="C8" s="26" t="n"/>
    </row>
    <row r="9" ht="79.5" customHeight="1" s="14">
      <c r="A9" s="26" t="inlineStr">
        <is>
          <t>Value-First DM</t>
        </is>
      </c>
      <c r="B9" s="26" t="inlineStr">
        <is>
          <t>The Builder</t>
        </is>
      </c>
      <c r="C9" s="26" t="inlineStr">
        <is>
          <t>Thanks for connecting, [Name].
Most engineering orgs I talk to in AU have 5–10 people using Claude Code or Codex individually — but no shared skills or consistent patterns across the team.
We've been working with companies on turning their best workflows into reusable AI agent skills — so the whole team benefits from what one person figured out.
Curious whether [Company] is dealing with something similar?</t>
        </is>
      </c>
    </row>
    <row r="10" ht="79.5" customHeight="1" s="14">
      <c r="A10" s="26" t="inlineStr">
        <is>
          <t>Value-First DM</t>
        </is>
      </c>
      <c r="B10" s="26" t="inlineStr">
        <is>
          <t>The Operator</t>
        </is>
      </c>
      <c r="C10" s="26" t="inlineStr">
        <is>
          <t>Thanks for connecting, [Name].
Quick stat that might resonate: 22% of enterprises now have employees running AI agents without IT knowing. I've been working with AU companies on standing up private skill marketplaces — so teams get AI capabilities they want, but IT controls who gets what, with audit trails.
Is AI agent governance on [Company]'s radar yet, or still early days?</t>
        </is>
      </c>
    </row>
    <row r="11" ht="79.5" customHeight="1" s="14">
      <c r="A11" s="26" t="inlineStr">
        <is>
          <t>Value-First DM</t>
        </is>
      </c>
      <c r="B11" s="26" t="inlineStr">
        <is>
          <t>Compliance/Risk</t>
        </is>
      </c>
      <c r="C11" s="26" t="inlineStr">
        <is>
          <t>Thanks for connecting, [Name].
135,000 OpenClaw instances are exposed to the public internet. 22% of enterprises have shadow AI agents running without IT approval.
I've been helping AU companies stand up governed AI agent deployments — private marketplaces with approval workflows, audit trails, and version control.
Is this something [Company] is thinking about yet?</t>
        </is>
      </c>
    </row>
    <row r="12" ht="15" customHeight="1" s="14">
      <c r="A12" s="26" t="n"/>
      <c r="B12" s="26" t="n"/>
      <c r="C12" s="26" t="n"/>
    </row>
    <row r="13" ht="79.5" customHeight="1" s="14">
      <c r="A13" s="26" t="inlineStr">
        <is>
          <t>Follow-Up</t>
        </is>
      </c>
      <c r="B13" s="26" t="inlineStr">
        <is>
          <t>All Personas</t>
        </is>
      </c>
      <c r="C13" s="26" t="inlineStr">
        <is>
          <t>Hi [Name], following up on my note from [last week / a few days ago].
We just helped [similar company type] encode their top 5 recurring workflows into AI agent skills that their whole team now uses. Took 6 weeks.
Worth a 15-minute call to see if something similar makes sense for [Company]? No pitch deck — just a conversation about what your team does every week that an AI agent should be doing instead.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196F3"/>
    <outlinePr summaryBelow="1" summaryRight="1"/>
    <pageSetUpPr fitToPage="0"/>
  </sheetPr>
  <dimension ref="A1:H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3" min="1" max="1"/>
    <col width="20" customWidth="1" style="13" min="2" max="2"/>
    <col width="18" customWidth="1" style="13" min="3" max="6"/>
    <col width="40" customWidth="1" style="13" min="7" max="7"/>
    <col width="16" customWidth="1" style="13" min="8" max="8"/>
  </cols>
  <sheetData>
    <row r="1" ht="26.85" customHeight="1" s="14">
      <c r="A1" s="15" t="inlineStr">
        <is>
          <t>Prospect Name</t>
        </is>
      </c>
      <c r="B1" s="15" t="inlineStr">
        <is>
          <t>Recent LinkedIn Posts?</t>
        </is>
      </c>
      <c r="C1" s="15" t="inlineStr">
        <is>
          <t>Company News?</t>
        </is>
      </c>
      <c r="D1" s="15" t="inlineStr">
        <is>
          <t>AI Job Postings?</t>
        </is>
      </c>
      <c r="E1" s="15" t="inlineStr">
        <is>
          <t>Mutual Connections?</t>
        </is>
      </c>
      <c r="F1" s="15" t="inlineStr">
        <is>
          <t>Tech Stack Signals?</t>
        </is>
      </c>
      <c r="G1" s="15" t="inlineStr">
        <is>
          <t>Personalization Hook</t>
        </is>
      </c>
      <c r="H1" s="15" t="inlineStr">
        <is>
          <t>Research Complete</t>
        </is>
      </c>
    </row>
    <row r="2" ht="15" customHeight="1" s="14">
      <c r="A2" s="16" t="inlineStr">
        <is>
          <t>Zev Friedman</t>
        </is>
      </c>
      <c r="B2" s="16" t="n"/>
      <c r="C2" s="16" t="n"/>
      <c r="D2" s="16" t="n"/>
      <c r="E2" s="16" t="n"/>
      <c r="F2" s="16" t="n"/>
      <c r="G2" s="16" t="n"/>
      <c r="H2" s="16" t="n"/>
    </row>
    <row r="3" ht="15" customHeight="1" s="14">
      <c r="A3" s="17" t="inlineStr">
        <is>
          <t>Joe Waller</t>
        </is>
      </c>
      <c r="B3" s="17" t="n"/>
      <c r="C3" s="17" t="n"/>
      <c r="D3" s="17" t="n"/>
      <c r="E3" s="17" t="n"/>
      <c r="F3" s="17" t="n"/>
      <c r="G3" s="17" t="n"/>
      <c r="H3" s="17" t="n"/>
    </row>
    <row r="4" ht="15" customHeight="1" s="14">
      <c r="A4" s="16" t="inlineStr">
        <is>
          <t>Rich Miller</t>
        </is>
      </c>
      <c r="B4" s="16" t="n"/>
      <c r="C4" s="16" t="n"/>
      <c r="D4" s="16" t="n"/>
      <c r="E4" s="16" t="n"/>
      <c r="F4" s="16" t="n"/>
      <c r="G4" s="16" t="n"/>
      <c r="H4" s="16" t="n"/>
    </row>
    <row r="5" ht="15" customHeight="1" s="14">
      <c r="A5" s="17" t="inlineStr">
        <is>
          <t>Anthony McKew</t>
        </is>
      </c>
      <c r="B5" s="17" t="n"/>
      <c r="C5" s="17" t="n"/>
      <c r="D5" s="17" t="n"/>
      <c r="E5" s="17" t="n"/>
      <c r="F5" s="17" t="n"/>
      <c r="G5" s="17" t="n"/>
      <c r="H5" s="17" t="n"/>
    </row>
    <row r="6" ht="15" customHeight="1" s="14">
      <c r="A6" s="16" t="inlineStr">
        <is>
          <t>Sek-Mun Wong</t>
        </is>
      </c>
      <c r="B6" s="16" t="n"/>
      <c r="C6" s="16" t="n"/>
      <c r="D6" s="16" t="n"/>
      <c r="E6" s="16" t="n"/>
      <c r="F6" s="16" t="n"/>
      <c r="G6" s="16" t="n"/>
      <c r="H6" s="16" t="n"/>
    </row>
    <row r="7" ht="15" customHeight="1" s="14">
      <c r="A7" s="17" t="inlineStr">
        <is>
          <t>Mentes Keles</t>
        </is>
      </c>
      <c r="B7" s="17" t="n"/>
      <c r="C7" s="17" t="n"/>
      <c r="D7" s="17" t="n"/>
      <c r="E7" s="17" t="n"/>
      <c r="F7" s="17" t="n"/>
      <c r="G7" s="17" t="n"/>
      <c r="H7" s="17" t="n"/>
    </row>
    <row r="8" ht="15" customHeight="1" s="14">
      <c r="A8" s="16" t="inlineStr">
        <is>
          <t>Stephen Morgan</t>
        </is>
      </c>
      <c r="B8" s="16" t="n"/>
      <c r="C8" s="16" t="n"/>
      <c r="D8" s="16" t="n"/>
      <c r="E8" s="16" t="n"/>
      <c r="F8" s="16" t="n"/>
      <c r="G8" s="16" t="n"/>
      <c r="H8" s="16" t="n"/>
    </row>
    <row r="9" ht="15" customHeight="1" s="14">
      <c r="A9" s="17" t="inlineStr">
        <is>
          <t>Mark Wang</t>
        </is>
      </c>
      <c r="B9" s="17" t="n"/>
      <c r="C9" s="17" t="n"/>
      <c r="D9" s="17" t="n"/>
      <c r="E9" s="17" t="n"/>
      <c r="F9" s="17" t="n"/>
      <c r="G9" s="17" t="n"/>
      <c r="H9" s="17" t="n"/>
    </row>
    <row r="10" ht="15" customHeight="1" s="14">
      <c r="A10" s="16" t="inlineStr">
        <is>
          <t>Daniel Goss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 ht="15" customHeight="1" s="14">
      <c r="A11" s="17" t="inlineStr">
        <is>
          <t>Rosanna Biggs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 ht="15" customHeight="1" s="14">
      <c r="A12" s="16" t="inlineStr">
        <is>
          <t>Andrew Brown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 ht="15" customHeight="1" s="14">
      <c r="A13" s="17" t="inlineStr">
        <is>
          <t>Mike Wood</t>
        </is>
      </c>
      <c r="B13" s="17" t="n"/>
      <c r="C13" s="17" t="n"/>
      <c r="D13" s="17" t="n"/>
      <c r="E13" s="17" t="n"/>
      <c r="F13" s="17" t="n"/>
      <c r="G13" s="17" t="n"/>
      <c r="H13" s="17" t="n"/>
    </row>
    <row r="14" ht="15" customHeight="1" s="14">
      <c r="A14" s="16" t="inlineStr">
        <is>
          <t>Liam Williamson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 ht="15" customHeight="1" s="14">
      <c r="A15" s="17" t="inlineStr">
        <is>
          <t>Tejas Kamdar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 ht="15" customHeight="1" s="14">
      <c r="A16" s="16" t="inlineStr">
        <is>
          <t>Mahantesh Chikodi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 ht="15" customHeight="1" s="14">
      <c r="A17" s="17" t="inlineStr">
        <is>
          <t>Phil Ross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 ht="15" customHeight="1" s="14">
      <c r="A18" s="16" t="inlineStr">
        <is>
          <t>Reza Nashvi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 ht="15" customHeight="1" s="14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 ht="15" customHeight="1" s="14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 ht="15" customHeight="1" s="14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 ht="15" customHeight="1" s="14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 ht="15" customHeight="1" s="14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 ht="15" customHeight="1" s="1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 ht="15" customHeight="1" s="14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 ht="15" customHeight="1" s="14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 ht="15" customHeight="1" s="14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 ht="15" customHeight="1" s="14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 ht="15" customHeight="1" s="14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 ht="15" customHeight="1" s="14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 ht="15" customHeight="1" s="14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 ht="15" customHeight="1" s="14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 ht="15" customHeight="1" s="14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 ht="15" customHeight="1" s="1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 ht="15" customHeight="1" s="14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 ht="15" customHeight="1" s="14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 ht="15" customHeight="1" s="14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 ht="15" customHeight="1" s="14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 ht="15" customHeight="1" s="14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 ht="15" customHeight="1" s="14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 ht="15" customHeight="1" s="14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 ht="15" customHeight="1" s="14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 ht="15" customHeight="1" s="14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 ht="15" customHeight="1" s="1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 ht="15" customHeight="1" s="14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 ht="15" customHeight="1" s="14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 ht="15" customHeight="1" s="14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 ht="15" customHeight="1" s="14">
      <c r="A48" s="16" t="n"/>
      <c r="B48" s="16" t="n"/>
      <c r="C48" s="16" t="n"/>
      <c r="D48" s="16" t="n"/>
      <c r="E48" s="16" t="n"/>
      <c r="F48" s="16" t="n"/>
      <c r="G48" s="16" t="n"/>
      <c r="H48" s="16" t="n"/>
    </row>
  </sheetData>
  <dataValidations count="1">
    <dataValidation sqref="B2:F50 H2:H50" showDropDown="0" showInputMessage="0" showErrorMessage="0" allowBlank="1" type="list" errorStyle="stop" operator="between">
      <formula1>"Yes,No,N/A"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2026-03-19T02:05:01Z</dcterms:created>
  <dcterms:modified xmlns:dcterms="http://purl.org/dc/terms/" xmlns:xsi="http://www.w3.org/2001/XMLSchema-instance" xsi:type="dcterms:W3CDTF">2026-03-19T02:08:46Z</dcterms:modified>
  <cp:revision>0</cp:revision>
</cp:coreProperties>
</file>